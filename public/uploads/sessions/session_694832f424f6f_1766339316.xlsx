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ode Master Mitesh\Desktop\"/>
    </mc:Choice>
  </mc:AlternateContent>
  <xr:revisionPtr revIDLastSave="0" documentId="13_ncr:1_{2C12934A-685D-4DF0-84BB-ACEC421D31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  <c r="J3" i="1"/>
  <c r="J2" i="1"/>
  <c r="I6" i="1"/>
  <c r="I5" i="1"/>
  <c r="I4" i="1"/>
  <c r="I3" i="1"/>
  <c r="I2" i="1"/>
  <c r="H7" i="1"/>
  <c r="H6" i="1"/>
  <c r="H5" i="1"/>
  <c r="H4" i="1"/>
  <c r="H3" i="1"/>
  <c r="H2" i="1"/>
  <c r="D7" i="1"/>
  <c r="D6" i="1"/>
  <c r="D5" i="1"/>
  <c r="D4" i="1"/>
  <c r="D3" i="1"/>
  <c r="D2" i="1"/>
  <c r="C7" i="1"/>
  <c r="C6" i="1"/>
  <c r="C5" i="1"/>
  <c r="C4" i="1"/>
  <c r="C3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 Master Mitesh</author>
  </authors>
  <commentList>
    <comment ref="A10" authorId="0" shapeId="0" xr:uid="{C38967AD-CF71-44FA-B2A1-BBBF8276EE50}">
      <text>
        <r>
          <rPr>
            <b/>
            <sz val="9"/>
            <color indexed="81"/>
            <rFont val="Tahoma"/>
            <charset val="1"/>
          </rPr>
          <t>Code Master Mitesh:</t>
        </r>
        <r>
          <rPr>
            <sz val="9"/>
            <color indexed="81"/>
            <rFont val="Tahoma"/>
            <charset val="1"/>
          </rPr>
          <t xml:space="preserve">
this finish is for ref and above all items is this fg items
</t>
        </r>
      </text>
    </comment>
  </commentList>
</comments>
</file>

<file path=xl/sharedStrings.xml><?xml version="1.0" encoding="utf-8"?>
<sst xmlns="http://schemas.openxmlformats.org/spreadsheetml/2006/main" count="17" uniqueCount="17">
  <si>
    <t>FRE WATERMELON 6MG SIDE LABELS</t>
  </si>
  <si>
    <t>Item Descrption(Selected Work Finish Items Row Matrerial from BOM)</t>
  </si>
  <si>
    <t>No Of Master Case((From Work Order))</t>
  </si>
  <si>
    <t>FRE WATERMELON 6MG FINISHED GOODS(For Ref)</t>
  </si>
  <si>
    <t>Total Cans(multification from bom Basic Qty	)</t>
  </si>
  <si>
    <t>FRE WATERMELON 6MG TOP LABELS</t>
  </si>
  <si>
    <t>FRE WATERMELON 6MG BOTTOM LABELS</t>
  </si>
  <si>
    <t>FRE WATERMELON 6MG SHRINK SLEEVES</t>
  </si>
  <si>
    <t>FRE WATERMELON 6MG CORRUGATED BOX 400 X 210 X 132MM - 3PLY</t>
  </si>
  <si>
    <t>FRE BULK MATERIAL WATERMELON 6 MG</t>
  </si>
  <si>
    <t>Pending Order (work order - dispatch)</t>
  </si>
  <si>
    <t>MBQ(Minimum Balance Qty From MiN Qty Module)</t>
  </si>
  <si>
    <t>Stock In Hand(Location Wise Current  Stock )</t>
  </si>
  <si>
    <t>Po Raised To Be Pending (Po Against Work Order)</t>
  </si>
  <si>
    <t>Indent Qty</t>
  </si>
  <si>
    <t>Wastage (Variable like side , bottom , top 30% and sleev 10%)</t>
  </si>
  <si>
    <t>Final Indent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</si>
</sst>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15" sqref="B15"/>
    </sheetView>
  </sheetViews>
  <sheetFormatPr defaultRowHeight="14.4" x14ac:dyDescent="0.3"/>
  <cols>
    <col min="1" max="1" width="34.44140625" customWidth="1"/>
    <col min="2" max="2" width="22.5546875" customWidth="1"/>
    <col min="3" max="3" width="20.77734375" customWidth="1"/>
    <col min="4" max="4" width="15.6640625" customWidth="1"/>
    <col min="5" max="5" width="15.5546875" customWidth="1"/>
    <col min="6" max="6" width="21.6640625" customWidth="1"/>
    <col min="7" max="7" width="21.5546875" customWidth="1"/>
    <col min="8" max="8" width="12" customWidth="1"/>
    <col min="9" max="9" width="23.21875" customWidth="1"/>
    <col min="10" max="10" width="11.5546875" customWidth="1"/>
  </cols>
  <sheetData>
    <row r="1" spans="1:10" ht="28.8" x14ac:dyDescent="0.3">
      <c r="A1" s="1" t="s">
        <v>1</v>
      </c>
      <c r="B1" s="1" t="s">
        <v>2</v>
      </c>
      <c r="C1" s="1" t="s">
        <v>4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 t="s">
        <v>0</v>
      </c>
      <c r="B2" s="1">
        <v>1904</v>
      </c>
      <c r="C2" s="1">
        <f>B2*90</f>
        <v>171360</v>
      </c>
      <c r="D2" s="1">
        <f>B2-1000</f>
        <v>904</v>
      </c>
      <c r="E2" s="1">
        <v>200000</v>
      </c>
      <c r="F2" s="1">
        <v>150000</v>
      </c>
      <c r="G2" s="1">
        <v>100000</v>
      </c>
      <c r="H2" s="1">
        <f>C2+D2+E2-F2-G2</f>
        <v>122264</v>
      </c>
      <c r="I2" s="1">
        <f>H2*30/100</f>
        <v>36679.199999999997</v>
      </c>
      <c r="J2" s="1">
        <f>H2+I2</f>
        <v>158943.20000000001</v>
      </c>
    </row>
    <row r="3" spans="1:10" x14ac:dyDescent="0.3">
      <c r="A3" s="1" t="s">
        <v>5</v>
      </c>
      <c r="B3" s="1">
        <v>1904</v>
      </c>
      <c r="C3" s="1">
        <f t="shared" ref="C3:C4" si="0">B3*90</f>
        <v>171360</v>
      </c>
      <c r="D3" s="1">
        <f t="shared" ref="D3:D7" si="1">B3-1000</f>
        <v>904</v>
      </c>
      <c r="E3" s="1">
        <v>200000</v>
      </c>
      <c r="F3" s="1">
        <v>150000</v>
      </c>
      <c r="G3" s="1">
        <v>100000</v>
      </c>
      <c r="H3" s="1">
        <f t="shared" ref="H3:H7" si="2">C3+D3+E3-F3-G3</f>
        <v>122264</v>
      </c>
      <c r="I3" s="1">
        <f t="shared" ref="I3:I4" si="3">H3*30/100</f>
        <v>36679.199999999997</v>
      </c>
      <c r="J3" s="1">
        <f t="shared" ref="J3:J7" si="4">H3+I3</f>
        <v>158943.20000000001</v>
      </c>
    </row>
    <row r="4" spans="1:10" x14ac:dyDescent="0.3">
      <c r="A4" s="1" t="s">
        <v>6</v>
      </c>
      <c r="B4" s="1">
        <v>1904</v>
      </c>
      <c r="C4" s="1">
        <f t="shared" si="0"/>
        <v>171360</v>
      </c>
      <c r="D4" s="1">
        <f t="shared" si="1"/>
        <v>904</v>
      </c>
      <c r="E4" s="1">
        <v>200000</v>
      </c>
      <c r="F4" s="1">
        <v>150000</v>
      </c>
      <c r="G4" s="1">
        <v>100000</v>
      </c>
      <c r="H4" s="1">
        <f t="shared" si="2"/>
        <v>122264</v>
      </c>
      <c r="I4" s="1">
        <f t="shared" si="3"/>
        <v>36679.199999999997</v>
      </c>
      <c r="J4" s="1">
        <f t="shared" si="4"/>
        <v>158943.20000000001</v>
      </c>
    </row>
    <row r="5" spans="1:10" x14ac:dyDescent="0.3">
      <c r="A5" s="1" t="s">
        <v>7</v>
      </c>
      <c r="B5" s="1">
        <v>1904</v>
      </c>
      <c r="C5" s="1">
        <f>B5*18</f>
        <v>34272</v>
      </c>
      <c r="D5" s="1">
        <f t="shared" si="1"/>
        <v>904</v>
      </c>
      <c r="E5" s="1">
        <v>40000</v>
      </c>
      <c r="F5" s="1">
        <v>20000</v>
      </c>
      <c r="G5" s="1">
        <v>25000</v>
      </c>
      <c r="H5" s="1">
        <f t="shared" si="2"/>
        <v>30176</v>
      </c>
      <c r="I5" s="1">
        <f>H5*10/100</f>
        <v>3017.6</v>
      </c>
      <c r="J5" s="1">
        <f t="shared" si="4"/>
        <v>33193.599999999999</v>
      </c>
    </row>
    <row r="6" spans="1:10" ht="28.8" x14ac:dyDescent="0.3">
      <c r="A6" s="1" t="s">
        <v>8</v>
      </c>
      <c r="B6" s="1">
        <v>1904</v>
      </c>
      <c r="C6" s="1">
        <f>B6*1</f>
        <v>1904</v>
      </c>
      <c r="D6" s="1">
        <f t="shared" si="1"/>
        <v>904</v>
      </c>
      <c r="E6" s="1">
        <v>1500</v>
      </c>
      <c r="F6" s="1">
        <v>800</v>
      </c>
      <c r="G6" s="1">
        <v>1000</v>
      </c>
      <c r="H6" s="1">
        <f t="shared" si="2"/>
        <v>2508</v>
      </c>
      <c r="I6" s="1">
        <f>H6*10/100</f>
        <v>250.8</v>
      </c>
      <c r="J6" s="1">
        <f t="shared" si="4"/>
        <v>2758.8</v>
      </c>
    </row>
    <row r="7" spans="1:10" x14ac:dyDescent="0.3">
      <c r="A7" s="1" t="s">
        <v>9</v>
      </c>
      <c r="B7" s="1">
        <v>1904</v>
      </c>
      <c r="C7" s="1">
        <f>B7*1.035</f>
        <v>1970.6399999999999</v>
      </c>
      <c r="D7" s="1">
        <f t="shared" si="1"/>
        <v>904</v>
      </c>
      <c r="E7" s="1">
        <v>1500</v>
      </c>
      <c r="F7" s="1">
        <v>0</v>
      </c>
      <c r="G7" s="1">
        <v>0</v>
      </c>
      <c r="H7" s="1">
        <f t="shared" si="2"/>
        <v>4374.6399999999994</v>
      </c>
      <c r="I7" s="1">
        <v>0</v>
      </c>
      <c r="J7" s="1">
        <v>0</v>
      </c>
    </row>
    <row r="10" spans="1:10" x14ac:dyDescent="0.3">
      <c r="A10" t="s">
        <v>3</v>
      </c>
      <c r="B10">
        <v>1904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 Master Mitesh</dc:creator>
  <cp:lastModifiedBy>Mitesh Prajapati</cp:lastModifiedBy>
  <dcterms:created xsi:type="dcterms:W3CDTF">2015-06-05T18:17:20Z</dcterms:created>
  <dcterms:modified xsi:type="dcterms:W3CDTF">2025-11-28T07:02:53Z</dcterms:modified>
</cp:coreProperties>
</file>